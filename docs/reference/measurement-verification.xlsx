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lags Summary" sheetId="2" state="visible" r:id="rId4"/>
    <sheet name="Constants" sheetId="3" state="visible" r:id="rId5"/>
    <sheet name="1. Main Volume Wall" sheetId="4" state="visible" r:id="rId6"/>
    <sheet name="2. Rolling Walls" sheetId="5" state="visible" r:id="rId7"/>
    <sheet name="3. Ceiling" sheetId="6" state="visible" r:id="rId8"/>
    <sheet name="4. Stage Deck" sheetId="7" state="visible" r:id="rId9"/>
    <sheet name="5. Subway Car" sheetId="8" state="visible" r:id="rId10"/>
    <sheet name="6. Station Platform" sheetId="9" state="visible" r:id="rId11"/>
    <sheet name="7. Rooftop Set" sheetId="10" state="visible" r:id="rId12"/>
    <sheet name="8. Door Box" sheetId="11" state="visible" r:id="rId13"/>
    <sheet name="9. Notes (as written)" sheetId="12" state="visible" r:id="rId14"/>
    <sheet name="10. Sketch (page 3)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<sst xmlns="http://schemas.openxmlformats.org/spreadsheetml/2006/main" count="291" uniqueCount="232">
  <si>
    <t xml:space="preserve">Lumostage Stage Configurator — Measurement Verification</t>
  </si>
  <si>
    <t xml:space="preserve">Transcribed from Darcy's completed field sheet (scanned PDF, Sept 28 2026). Built to check numbers, not to be the source of truth.</t>
  </si>
  <si>
    <t xml:space="preserve">How to use this</t>
  </si>
  <si>
    <t xml:space="preserve">Blue text</t>
  </si>
  <si>
    <t xml:space="preserve">Copied exactly as Darcy wrote it — including units as written, even where that looks like inches in a feet column.</t>
  </si>
  <si>
    <t xml:space="preserve">Black text</t>
  </si>
  <si>
    <t xml:space="preserve">Calculated from the blue value via formula — change the blue cell and it recalculates.</t>
  </si>
  <si>
    <t xml:space="preserve">Yellow highlight</t>
  </si>
  <si>
    <t xml:space="preserve">Needs your eyes before this number gets used. Ambiguous unit, missing value, or a number that doesn't reconcile with another one on the sheet.</t>
  </si>
  <si>
    <t xml:space="preserve">Start with the 'Flags Summary' tab</t>
  </si>
  <si>
    <t xml:space="preserve">Every yellow item across every section, in one list, so you're not hunting sheet by sheet.</t>
  </si>
  <si>
    <t xml:space="preserve">Unit conversions used</t>
  </si>
  <si>
    <t xml:space="preserve">Panels → feet</t>
  </si>
  <si>
    <t xml:space="preserve">panel count × 0.5m × 3.28084 ft/m (see Constants tab)</t>
  </si>
  <si>
    <t xml:space="preserve">Feet-inches → decimal feet</t>
  </si>
  <si>
    <t xml:space="preserve">feet + (inches ÷ 12)</t>
  </si>
  <si>
    <t xml:space="preserve">Flags Summary — everything worth your eyes before these numbers get used</t>
  </si>
  <si>
    <t xml:space="preserve">Section</t>
  </si>
  <si>
    <t xml:space="preserve">Field</t>
  </si>
  <si>
    <t xml:space="preserve">Issue</t>
  </si>
  <si>
    <t xml:space="preserve">Suggested Action</t>
  </si>
  <si>
    <t xml:space="preserve">1. Main Volume Wall</t>
  </si>
  <si>
    <t xml:space="preserve">Arc angle vs panel count</t>
  </si>
  <si>
    <t xml:space="preserve">50° achieved by 36 panels implies ≈68ft radius — unusually large; the two figures may not both be correct.</t>
  </si>
  <si>
    <t xml:space="preserve">Confirm arc angle and panel count against the physical wall, or against known radius.</t>
  </si>
  <si>
    <t xml:space="preserve">Footing height</t>
  </si>
  <si>
    <t xml:space="preserve">Written 6¾" in a field labeled ft.</t>
  </si>
  <si>
    <t xml:space="preserve">Confirm inches (0.56ft) vs feet (6.75ft) reading.</t>
  </si>
  <si>
    <t xml:space="preserve">2. Rolling Walls</t>
  </si>
  <si>
    <t xml:space="preserve">Track type</t>
  </si>
  <si>
    <t xml:space="preserve">Both walls answered 'Free-rolling', not the expected straight/curved.</t>
  </si>
  <si>
    <t xml:space="preserve">Ask Darcy whether this means the rail is straight (free-rolling along it) or something else.</t>
  </si>
  <si>
    <t xml:space="preserve">Max travel ~100ft</t>
  </si>
  <si>
    <t xml:space="preserve">Approximate (~) and unusually long for a rolling wall's travel distance.</t>
  </si>
  <si>
    <t xml:space="preserve">Confirm actual figure and whether it's rail length or something else.</t>
  </si>
  <si>
    <t xml:space="preserve">Wall B = ditto</t>
  </si>
  <si>
    <t xml:space="preserve">B's values were written as ditto marks matching A.</t>
  </si>
  <si>
    <t xml:space="preserve">Confirm B is truly identical to A, not just abbreviated on the sheet.</t>
  </si>
  <si>
    <t xml:space="preserve">3. Ceiling</t>
  </si>
  <si>
    <t xml:space="preserve">Height off ground vs adjustable max</t>
  </si>
  <si>
    <t xml:space="preserve">24ft height off ground is above the stated 20ft adjustable max.</t>
  </si>
  <si>
    <t xml:space="preserve">Clarify whether 24ft is a separate rest height, or one of the two numbers is a transcription error.</t>
  </si>
  <si>
    <t xml:space="preserve">'Position in volume'</t>
  </si>
  <si>
    <t xml:space="preserve">Field added by hand, left blank.</t>
  </si>
  <si>
    <t xml:space="preserve">Ask Darcy what this was meant to capture and get the value.</t>
  </si>
  <si>
    <t xml:space="preserve">4. Stage Deck</t>
  </si>
  <si>
    <t xml:space="preserve">Height 13"</t>
  </si>
  <si>
    <t xml:space="preserve">Written in a field labeled ft — read as inches.</t>
  </si>
  <si>
    <t xml:space="preserve">Confirm 1.08ft (13in) vs 13ft.</t>
  </si>
  <si>
    <t xml:space="preserve">LED wall vs deck overhang note</t>
  </si>
  <si>
    <t xml:space="preserve">Stated ~2.5" overhang doesn't match the calculated ~4.8" from the other figures given (5m vs 16ft). '6ft' reference also unclear.</t>
  </si>
  <si>
    <t xml:space="preserve">Get exact figures from Darcy rather than relying on the note's arithmetic.</t>
  </si>
  <si>
    <t xml:space="preserve">5. Subway Car</t>
  </si>
  <si>
    <t xml:space="preserve">Interior ceiling height (concave)</t>
  </si>
  <si>
    <t xml:space="preserve">Ceiling is slightly concave — 6'8" center vs ~6'7 3/8" near door.</t>
  </si>
  <si>
    <t xml:space="preserve">Use the near-door figure for door-adjacent interior camera/eyeline checks.</t>
  </si>
  <si>
    <t xml:space="preserve">Door count</t>
  </si>
  <si>
    <t xml:space="preserve">Answered as '2 double sliding doors' rather than a plain count.</t>
  </si>
  <si>
    <t xml:space="preserve">Confirm this covers all doors on that side and both are the same size.</t>
  </si>
  <si>
    <t xml:space="preserve">6. Station Platform</t>
  </si>
  <si>
    <t xml:space="preserve">Height off ground — all 3 versions</t>
  </si>
  <si>
    <t xml:space="preserve">Not filled in for v1, v2, or v3.</t>
  </si>
  <si>
    <t xml:space="preserve">Get this measurement — needed for camera/eyeline work relative to the platform.</t>
  </si>
  <si>
    <t xml:space="preserve">7. Rooftop Set</t>
  </si>
  <si>
    <t xml:space="preserve">Length/width — all versions</t>
  </si>
  <si>
    <t xml:space="preserve">Not filled in for v1 or v2; v3 not started.</t>
  </si>
  <si>
    <t xml:space="preserve">Get footprint dimensions for at least v1 and v2.</t>
  </si>
  <si>
    <t xml:space="preserve">'Variable based on deck choice'</t>
  </si>
  <si>
    <t xml:space="preserve">Suggests rooftop footprint depends on which platform/deck it pairs with, not a fixed per-version size.</t>
  </si>
  <si>
    <t xml:space="preserve">Confirm — this may mean the schema should derive rooftop size from the paired platform rather than storing it independently.</t>
  </si>
  <si>
    <t xml:space="preserve">8. Door Box</t>
  </si>
  <si>
    <t xml:space="preserve">Brick or stucco note</t>
  </si>
  <si>
    <t xml:space="preserve">v1 notes 'brick side or stucco side' — could mean two finish variants of one box.</t>
  </si>
  <si>
    <t xml:space="preserve">Confirm whether this is one box with a material choice, or should be two catalog variants.</t>
  </si>
  <si>
    <t xml:space="preserve">v2, v3</t>
  </si>
  <si>
    <t xml:space="preserve">Not started.</t>
  </si>
  <si>
    <t xml:space="preserve">Fill in when those sizes are settled.</t>
  </si>
  <si>
    <t xml:space="preserve">10. Sketch (page 3)</t>
  </si>
  <si>
    <t xml:space="preserve">Entire diagram</t>
  </si>
  <si>
    <t xml:space="preserve">Freehand sketch with no title/legend identifying what it depicts or how its labels map to catalog elements.</t>
  </si>
  <si>
    <t xml:space="preserve">Confirm with Darcy directly what this sketch shows before using any of its numbers.</t>
  </si>
  <si>
    <t xml:space="preserve">Constants used in conversion formulas</t>
  </si>
  <si>
    <t xml:space="preserve">Meters to feet</t>
  </si>
  <si>
    <t xml:space="preserve">Panel size (m)</t>
  </si>
  <si>
    <t xml:space="preserve">Panel size (ft)</t>
  </si>
  <si>
    <t xml:space="preserve">As Written</t>
  </si>
  <si>
    <t xml:space="preserve">Interpreted Value</t>
  </si>
  <si>
    <t xml:space="preserve">Flag / Note</t>
  </si>
  <si>
    <t xml:space="preserve">Panels high</t>
  </si>
  <si>
    <t xml:space="preserve">Panels wide across curve</t>
  </si>
  <si>
    <t xml:space="preserve">Interpreted value is ARC LENGTH along the curve, not radius or chord.</t>
  </si>
  <si>
    <t xml:space="preserve">Arc angle achieved (°)</t>
  </si>
  <si>
    <t xml:space="preserve">Implied radius = arc length ÷ angle(rad), computed in row 5. Cross-check against the physical wall's known radius if there is one.</t>
  </si>
  <si>
    <t xml:space="preserve">→ Implied radius (ft)</t>
  </si>
  <si>
    <t xml:space="preserve">≈68 ft radius (≈136 ft diameter) if 50° and 36 panels are both correct — that's a very large volume. Worth sanity-checking both numbers against each other.</t>
  </si>
  <si>
    <t xml:space="preserve">Footing height off ground</t>
  </si>
  <si>
    <t xml:space="preserve">6 3/4"</t>
  </si>
  <si>
    <t xml:space="preserve">Written as 6¾" (inches) in a field labeled ft. Interpreted as inches (0.56 ft), which lines up with the sheet's own ~7in/0.58ft estimate. If Darcy meant 6.75 ft, that's a very tall footing — confirm.</t>
  </si>
  <si>
    <t xml:space="preserve">Wall #</t>
  </si>
  <si>
    <t xml:space="preserve">Panels High</t>
  </si>
  <si>
    <t xml:space="preserve">Panels Wide</t>
  </si>
  <si>
    <t xml:space="preserve">Height (ft)</t>
  </si>
  <si>
    <t xml:space="preserve">Width (ft)</t>
  </si>
  <si>
    <t xml:space="preserve">Track (as written)</t>
  </si>
  <si>
    <t xml:space="preserve">Max Travel (as written)</t>
  </si>
  <si>
    <t xml:space="preserve">Max Travel (ft)</t>
  </si>
  <si>
    <t xml:space="preserve">Stowed Position</t>
  </si>
  <si>
    <t xml:space="preserve">A</t>
  </si>
  <si>
    <t xml:space="preserve">Free-rolling</t>
  </si>
  <si>
    <t xml:space="preserve">~100 ft</t>
  </si>
  <si>
    <t xml:space="preserve">in volume</t>
  </si>
  <si>
    <t xml:space="preserve">Track answered 'Free-rolling' rather than straight/curved — may describe caster freedom rather than rail geometry. ~100ft travel is long for a rolling wall — confirm.</t>
  </si>
  <si>
    <t xml:space="preserve">B</t>
  </si>
  <si>
    <t xml:space="preserve">" (ditto — same as A)</t>
  </si>
  <si>
    <t xml:space="preserve">Ditto marks in original — transcribed as matching Wall A. Confirm B truly matches A exactly.</t>
  </si>
  <si>
    <t xml:space="preserve">Panels long</t>
  </si>
  <si>
    <t xml:space="preserve">Panels wide</t>
  </si>
  <si>
    <t xml:space="preserve">Height off ground (ft)</t>
  </si>
  <si>
    <t xml:space="preserve">This is ABOVE the adjustable max of 20ft entered below — see flag.</t>
  </si>
  <si>
    <t xml:space="preserve">Fixed or adjustable?</t>
  </si>
  <si>
    <t xml:space="preserve">Adjustable</t>
  </si>
  <si>
    <t xml:space="preserve">Min height (ft)</t>
  </si>
  <si>
    <t xml:space="preserve">Max height (ft)</t>
  </si>
  <si>
    <t xml:space="preserve">24ft 'height off ground' exceeds this 20ft max — one of the two numbers is likely wrong, or 'height off ground' is a separate rest/default height outside the adjustable range.</t>
  </si>
  <si>
    <t xml:space="preserve">'Position in volume' (added field)</t>
  </si>
  <si>
    <t xml:space="preserve">— not filled in —</t>
  </si>
  <si>
    <t xml:space="preserve">Darcy added this as a field on the sheet but left it blank. Follow up on what it should capture.</t>
  </si>
  <si>
    <t xml:space="preserve">Height</t>
  </si>
  <si>
    <t xml:space="preserve">13"</t>
  </si>
  <si>
    <t xml:space="preserve">Written 13" (inches) in a field labeled ft. Interpreted as inches (1.08 ft) — plausible for a low caster deck. If Darcy meant 13 ft, that's an unusually tall riser — confirm.</t>
  </si>
  <si>
    <t xml:space="preserve">Length</t>
  </si>
  <si>
    <t xml:space="preserve">Depth</t>
  </si>
  <si>
    <t xml:space="preserve">Note: casters</t>
  </si>
  <si>
    <t xml:space="preserve">Heavy duty casters</t>
  </si>
  <si>
    <t xml:space="preserve">Note: LED wall vs deck length</t>
  </si>
  <si>
    <t xml:space="preserve">"LED wall is longer than deck: 6ft vs 5m (16'5"), overhang of approx. 2.5\""</t>
  </si>
  <si>
    <t xml:space="preserve">As written, the math doesn't quite reconcile: 5m ≈ 16'5" (16.4ft) vs 16ft deck length gives ≈4.8" overhang by calculation, not the ~2.5" stated. The '6ft' reference is also unclear against the 16ft deck length above. Worth confirming the exact figures with Darcy directly.</t>
  </si>
  <si>
    <t xml:space="preserve">Feet</t>
  </si>
  <si>
    <t xml:space="preserve">Inches</t>
  </si>
  <si>
    <t xml:space="preserve">Interpreted (ft)</t>
  </si>
  <si>
    <t xml:space="preserve">Exterior length</t>
  </si>
  <si>
    <t xml:space="preserve">36'2"</t>
  </si>
  <si>
    <t xml:space="preserve">Exterior width</t>
  </si>
  <si>
    <t xml:space="preserve">8'6"</t>
  </si>
  <si>
    <t xml:space="preserve">Exterior height</t>
  </si>
  <si>
    <t xml:space="preserve">9'8"</t>
  </si>
  <si>
    <t xml:space="preserve">Interior floor-to-ceiling height</t>
  </si>
  <si>
    <t xml:space="preserve">6'8"</t>
  </si>
  <si>
    <t xml:space="preserve">Ceiling noted as slightly concave — see row 6 for the lower figure near the door.</t>
  </si>
  <si>
    <t xml:space="preserve">→ Interior height near door</t>
  </si>
  <si>
    <t xml:space="preserve">6'7 3/8"</t>
  </si>
  <si>
    <t xml:space="preserve">Use this figure, not row 5, for eyeline checks near the door — ceiling curves down slightly toward the door.</t>
  </si>
  <si>
    <t xml:space="preserve">Window sill height from floor</t>
  </si>
  <si>
    <t xml:space="preserve">37"</t>
  </si>
  <si>
    <t xml:space="preserve">Written as inches (37") in a field labeled ft — an unambiguous read given the magnitude; converts to 3'1".</t>
  </si>
  <si>
    <t xml:space="preserve">Door opening width</t>
  </si>
  <si>
    <t xml:space="preserve">48"</t>
  </si>
  <si>
    <t xml:space="preserve">Written as inches; converts to 4 ft.</t>
  </si>
  <si>
    <t xml:space="preserve">Door opening height</t>
  </si>
  <si>
    <t xml:space="preserve">6'3"</t>
  </si>
  <si>
    <t xml:space="preserve">Number of doors per side</t>
  </si>
  <si>
    <t xml:space="preserve">2 double sliding doors</t>
  </si>
  <si>
    <t xml:space="preserve">Answered descriptively rather than as a count. Interpreted as 2 double-sliding door units per side — confirm this is the total, and that both are the same size.</t>
  </si>
  <si>
    <t xml:space="preserve">Version</t>
  </si>
  <si>
    <t xml:space="preserve">Length (ft)</t>
  </si>
  <si>
    <t xml:space="preserve">Notes</t>
  </si>
  <si>
    <t xml:space="preserve">Flag</t>
  </si>
  <si>
    <t xml:space="preserve">v1</t>
  </si>
  <si>
    <t xml:space="preserve">One side — for use with physical train set</t>
  </si>
  <si>
    <t xml:space="preserve">Height off ground missing — needed for camera/eyeline placement relative to platform.</t>
  </si>
  <si>
    <t xml:space="preserve">v2</t>
  </si>
  <si>
    <t xml:space="preserve">Two side, full length</t>
  </si>
  <si>
    <t xml:space="preserve">v3</t>
  </si>
  <si>
    <t xml:space="preserve">Two side, removable</t>
  </si>
  <si>
    <t xml:space="preserve">Parapet As Written</t>
  </si>
  <si>
    <t xml:space="preserve">Parapet (ft)</t>
  </si>
  <si>
    <t xml:space="preserve">15 3/4"</t>
  </si>
  <si>
    <t xml:space="preserve">low, out-of-code style</t>
  </si>
  <si>
    <t xml:space="preserve">Length/width not filled in. Parapet written with inch mark; matches Notes tab entry — confident it's inches (1.31ft), not feet.</t>
  </si>
  <si>
    <t xml:space="preserve">40 1/2"</t>
  </si>
  <si>
    <t xml:space="preserve">w/ brick wall parapet</t>
  </si>
  <si>
    <t xml:space="preserve">Length/width not filled in. Parapet as inches (3.38ft) — matches Notes tab entry.</t>
  </si>
  <si>
    <t xml:space="preserve">(extra note, no version #)</t>
  </si>
  <si>
    <t xml:space="preserve">variable based on deck choice</t>
  </si>
  <si>
    <t xml:space="preserve">Reads as an architecture note, not a missing number: rooftop footprint may be meant to derive from whichever platform/deck it's paired with, rather than being fixed per version. Worth confirming before locking the catalog schema — may need rooftop dimensions to reference the paired platform instead of standing alone.</t>
  </si>
  <si>
    <t xml:space="preserve">Feet (L/W/H)</t>
  </si>
  <si>
    <t xml:space="preserve">v1 — Length</t>
  </si>
  <si>
    <t xml:space="preserve">12'1"</t>
  </si>
  <si>
    <t xml:space="preserve">12 + 1/12</t>
  </si>
  <si>
    <t xml:space="preserve">brick side or stucco side</t>
  </si>
  <si>
    <t xml:space="preserve">Note suggests two finish options for the same box — confirm that's a visual/material variant, not two different-sized versions.</t>
  </si>
  <si>
    <t xml:space="preserve">v1 — Width</t>
  </si>
  <si>
    <t xml:space="preserve">4'4"</t>
  </si>
  <si>
    <t xml:space="preserve">4 + 4/12</t>
  </si>
  <si>
    <t xml:space="preserve">v1 — Height</t>
  </si>
  <si>
    <t xml:space="preserve">10'2"</t>
  </si>
  <si>
    <t xml:space="preserve">10 + 2/12</t>
  </si>
  <si>
    <t xml:space="preserve">Item (as written)</t>
  </si>
  <si>
    <t xml:space="preserve">Note (as written)</t>
  </si>
  <si>
    <t xml:space="preserve">Cross-reference</t>
  </si>
  <si>
    <t xml:space="preserve">roof parapets</t>
  </si>
  <si>
    <t xml:space="preserve">low - 15 3/4"</t>
  </si>
  <si>
    <t xml:space="preserve">Matches Rooftop Set v1 parapet — confirms the inches reading.</t>
  </si>
  <si>
    <t xml:space="preserve">4 brick wall</t>
  </si>
  <si>
    <t xml:space="preserve">brick - 40 1/2"</t>
  </si>
  <si>
    <t xml:space="preserve">Matches Rooftop Set v2 parapet — confirms the inches reading.</t>
  </si>
  <si>
    <t xml:space="preserve">Label '4 brick wall' is odd phrasing — possibly shorthand for 'w/ brick wall', matching v2's note. Confirm.</t>
  </si>
  <si>
    <t xml:space="preserve">Freehand diagram at the bottom of page 3 — subject not labeled.</t>
  </si>
  <si>
    <t xml:space="preserve">Transcribed measurements below. Recommend confirming with Darcy what this diagram actually depicts before using any of these numbers — it isn't clear whether it maps to the main wall, rolling walls, or something else entirely.</t>
  </si>
  <si>
    <t xml:space="preserve">Label on sketch</t>
  </si>
  <si>
    <t xml:space="preserve">Position on sketch</t>
  </si>
  <si>
    <t xml:space="preserve">Overall span</t>
  </si>
  <si>
    <t xml:space="preserve">38 ft</t>
  </si>
  <si>
    <t xml:space="preserve">Top of sketch, spanning the full width</t>
  </si>
  <si>
    <t xml:space="preserve">Arc height/radius</t>
  </si>
  <si>
    <t xml:space="preserve">16 ft</t>
  </si>
  <si>
    <t xml:space="preserve">Vertical label under the arc apex</t>
  </si>
  <si>
    <t xml:space="preserve">Left offset</t>
  </si>
  <si>
    <t xml:space="preserve">10'9"</t>
  </si>
  <si>
    <t xml:space="preserve">Left edge to the center box</t>
  </si>
  <si>
    <t xml:space="preserve">Center box — width</t>
  </si>
  <si>
    <t xml:space="preserve">16'6"</t>
  </si>
  <si>
    <t xml:space="preserve">Bottom of the central box</t>
  </si>
  <si>
    <t xml:space="preserve">Center box — height</t>
  </si>
  <si>
    <t xml:space="preserve">13'8"</t>
  </si>
  <si>
    <t xml:space="preserve">Right side of the central box</t>
  </si>
  <si>
    <t xml:space="preserve">Left-side element</t>
  </si>
  <si>
    <t xml:space="preserve">16 ft (approx label position)</t>
  </si>
  <si>
    <t xml:space="preserve">Thin vertical rectangle, far left</t>
  </si>
  <si>
    <t xml:space="preserve">Right-side element</t>
  </si>
  <si>
    <t xml:space="preserve">4 ft</t>
  </si>
  <si>
    <t xml:space="preserve">Thin vertical rectangle, far right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</si>
</sst>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7A5B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191A"/>
        <bgColor rgb="FF000000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319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23.85" hidden="false" customHeight="false" outlineLevel="0" collapsed="false">
      <c r="A6" s="5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4" t="s">
        <v>6</v>
      </c>
    </row>
    <row r="8" customFormat="false" ht="23.85" hidden="false" customHeight="false" outlineLevel="0" collapsed="false">
      <c r="A8" s="5" t="s">
        <v>7</v>
      </c>
      <c r="B8" s="4" t="s">
        <v>8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5" t="s">
        <v>9</v>
      </c>
      <c r="B10" s="4" t="s">
        <v>10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5" t="s">
        <v>11</v>
      </c>
      <c r="B12" s="4"/>
    </row>
    <row r="13" customFormat="false" ht="15" hidden="false" customHeight="false" outlineLevel="0" collapsed="false">
      <c r="A13" s="5" t="s">
        <v>12</v>
      </c>
      <c r="B13" s="4" t="s">
        <v>13</v>
      </c>
    </row>
    <row r="14" customFormat="false" ht="15" hidden="false" customHeight="false" outlineLevel="0" collapsed="false">
      <c r="A14" s="5" t="s">
        <v>14</v>
      </c>
      <c r="B14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6" t="s">
        <v>16</v>
      </c>
      <c r="B1" s="6"/>
      <c r="C1" s="6"/>
      <c r="D1" s="6"/>
    </row>
    <row r="3" customFormat="false" ht="15" hidden="false" customHeight="false" outlineLevel="0" collapsed="false">
      <c r="A3" s="7" t="s">
        <v>17</v>
      </c>
      <c r="B3" s="7" t="s">
        <v>18</v>
      </c>
      <c r="C3" s="7" t="s">
        <v>19</v>
      </c>
      <c r="D3" s="7" t="s">
        <v>20</v>
      </c>
    </row>
    <row r="4" customFormat="false" ht="23.85" hidden="false" customHeight="false" outlineLevel="0" collapsed="false">
      <c r="A4" s="8" t="s">
        <v>21</v>
      </c>
      <c r="B4" s="8" t="s">
        <v>22</v>
      </c>
      <c r="C4" s="9" t="s">
        <v>23</v>
      </c>
      <c r="D4" s="9" t="s">
        <v>24</v>
      </c>
    </row>
    <row r="5" customFormat="false" ht="15" hidden="false" customHeight="false" outlineLevel="0" collapsed="false">
      <c r="A5" s="8" t="s">
        <v>21</v>
      </c>
      <c r="B5" s="8" t="s">
        <v>25</v>
      </c>
      <c r="C5" s="9" t="s">
        <v>26</v>
      </c>
      <c r="D5" s="9" t="s">
        <v>27</v>
      </c>
    </row>
    <row r="6" customFormat="false" ht="23.85" hidden="false" customHeight="false" outlineLevel="0" collapsed="false">
      <c r="A6" s="8" t="s">
        <v>28</v>
      </c>
      <c r="B6" s="8" t="s">
        <v>29</v>
      </c>
      <c r="C6" s="9" t="s">
        <v>30</v>
      </c>
      <c r="D6" s="9" t="s">
        <v>31</v>
      </c>
    </row>
    <row r="7" customFormat="false" ht="15" hidden="false" customHeight="false" outlineLevel="0" collapsed="false">
      <c r="A7" s="8" t="s">
        <v>28</v>
      </c>
      <c r="B7" s="8" t="s">
        <v>32</v>
      </c>
      <c r="C7" s="9" t="s">
        <v>33</v>
      </c>
      <c r="D7" s="9" t="s">
        <v>34</v>
      </c>
    </row>
    <row r="8" customFormat="false" ht="15" hidden="false" customHeight="false" outlineLevel="0" collapsed="false">
      <c r="A8" s="8" t="s">
        <v>28</v>
      </c>
      <c r="B8" s="8" t="s">
        <v>35</v>
      </c>
      <c r="C8" s="9" t="s">
        <v>36</v>
      </c>
      <c r="D8" s="9" t="s">
        <v>37</v>
      </c>
    </row>
    <row r="9" customFormat="false" ht="23.85" hidden="false" customHeight="false" outlineLevel="0" collapsed="false">
      <c r="A9" s="8" t="s">
        <v>38</v>
      </c>
      <c r="B9" s="8" t="s">
        <v>39</v>
      </c>
      <c r="C9" s="9" t="s">
        <v>40</v>
      </c>
      <c r="D9" s="9" t="s">
        <v>41</v>
      </c>
    </row>
    <row r="10" customFormat="false" ht="15" hidden="false" customHeight="false" outlineLevel="0" collapsed="false">
      <c r="A10" s="8" t="s">
        <v>38</v>
      </c>
      <c r="B10" s="8" t="s">
        <v>42</v>
      </c>
      <c r="C10" s="9" t="s">
        <v>43</v>
      </c>
      <c r="D10" s="9" t="s">
        <v>44</v>
      </c>
    </row>
    <row r="11" customFormat="false" ht="15" hidden="false" customHeight="false" outlineLevel="0" collapsed="false">
      <c r="A11" s="8" t="s">
        <v>45</v>
      </c>
      <c r="B11" s="8" t="s">
        <v>46</v>
      </c>
      <c r="C11" s="9" t="s">
        <v>47</v>
      </c>
      <c r="D11" s="9" t="s">
        <v>48</v>
      </c>
    </row>
    <row r="12" customFormat="false" ht="23.85" hidden="false" customHeight="false" outlineLevel="0" collapsed="false">
      <c r="A12" s="8" t="s">
        <v>45</v>
      </c>
      <c r="B12" s="8" t="s">
        <v>49</v>
      </c>
      <c r="C12" s="9" t="s">
        <v>50</v>
      </c>
      <c r="D12" s="9" t="s">
        <v>51</v>
      </c>
    </row>
    <row r="13" customFormat="false" ht="23.85" hidden="false" customHeight="false" outlineLevel="0" collapsed="false">
      <c r="A13" s="8" t="s">
        <v>52</v>
      </c>
      <c r="B13" s="8" t="s">
        <v>53</v>
      </c>
      <c r="C13" s="9" t="s">
        <v>54</v>
      </c>
      <c r="D13" s="9" t="s">
        <v>55</v>
      </c>
    </row>
    <row r="14" customFormat="false" ht="23.85" hidden="false" customHeight="false" outlineLevel="0" collapsed="false">
      <c r="A14" s="8" t="s">
        <v>52</v>
      </c>
      <c r="B14" s="8" t="s">
        <v>56</v>
      </c>
      <c r="C14" s="9" t="s">
        <v>57</v>
      </c>
      <c r="D14" s="9" t="s">
        <v>58</v>
      </c>
    </row>
    <row r="15" customFormat="false" ht="23.85" hidden="false" customHeight="false" outlineLevel="0" collapsed="false">
      <c r="A15" s="8" t="s">
        <v>59</v>
      </c>
      <c r="B15" s="8" t="s">
        <v>60</v>
      </c>
      <c r="C15" s="9" t="s">
        <v>61</v>
      </c>
      <c r="D15" s="9" t="s">
        <v>62</v>
      </c>
    </row>
    <row r="16" customFormat="false" ht="15" hidden="false" customHeight="false" outlineLevel="0" collapsed="false">
      <c r="A16" s="8" t="s">
        <v>63</v>
      </c>
      <c r="B16" s="8" t="s">
        <v>64</v>
      </c>
      <c r="C16" s="9" t="s">
        <v>65</v>
      </c>
      <c r="D16" s="9" t="s">
        <v>66</v>
      </c>
    </row>
    <row r="17" customFormat="false" ht="23.85" hidden="false" customHeight="false" outlineLevel="0" collapsed="false">
      <c r="A17" s="8" t="s">
        <v>63</v>
      </c>
      <c r="B17" s="8" t="s">
        <v>67</v>
      </c>
      <c r="C17" s="9" t="s">
        <v>68</v>
      </c>
      <c r="D17" s="9" t="s">
        <v>69</v>
      </c>
    </row>
    <row r="18" customFormat="false" ht="23.85" hidden="false" customHeight="false" outlineLevel="0" collapsed="false">
      <c r="A18" s="8" t="s">
        <v>70</v>
      </c>
      <c r="B18" s="8" t="s">
        <v>71</v>
      </c>
      <c r="C18" s="9" t="s">
        <v>72</v>
      </c>
      <c r="D18" s="9" t="s">
        <v>73</v>
      </c>
    </row>
    <row r="19" customFormat="false" ht="15" hidden="false" customHeight="false" outlineLevel="0" collapsed="false">
      <c r="A19" s="8" t="s">
        <v>70</v>
      </c>
      <c r="B19" s="8" t="s">
        <v>74</v>
      </c>
      <c r="C19" s="9" t="s">
        <v>75</v>
      </c>
      <c r="D19" s="9" t="s">
        <v>76</v>
      </c>
    </row>
    <row r="20" customFormat="false" ht="23.85" hidden="false" customHeight="false" outlineLevel="0" collapsed="false">
      <c r="A20" s="8" t="s">
        <v>77</v>
      </c>
      <c r="B20" s="8" t="s">
        <v>78</v>
      </c>
      <c r="C20" s="9" t="s">
        <v>79</v>
      </c>
      <c r="D20" s="9" t="s">
        <v>80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81</v>
      </c>
    </row>
    <row r="3" customFormat="false" ht="15" hidden="false" customHeight="false" outlineLevel="0" collapsed="false">
      <c r="A3" s="3" t="s">
        <v>82</v>
      </c>
      <c r="B3" s="5" t="n">
        <v>3.280839895</v>
      </c>
    </row>
    <row r="4" customFormat="false" ht="15" hidden="false" customHeight="false" outlineLevel="0" collapsed="false">
      <c r="A4" s="3" t="s">
        <v>83</v>
      </c>
      <c r="B4" s="5" t="n">
        <v>0.5</v>
      </c>
    </row>
    <row r="5" customFormat="false" ht="15" hidden="false" customHeight="false" outlineLevel="0" collapsed="false">
      <c r="A5" s="3" t="s">
        <v>84</v>
      </c>
      <c r="B5" s="5" t="n">
        <f aca="false">B4*B3</f>
        <v>1.6404199475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7" t="s">
        <v>18</v>
      </c>
      <c r="B1" s="7" t="s">
        <v>85</v>
      </c>
      <c r="C1" s="7" t="s">
        <v>86</v>
      </c>
      <c r="D1" s="7" t="s">
        <v>87</v>
      </c>
    </row>
    <row r="2" customFormat="false" ht="15" hidden="false" customHeight="false" outlineLevel="0" collapsed="false">
      <c r="A2" s="10" t="s">
        <v>88</v>
      </c>
      <c r="B2" s="11" t="n">
        <v>10</v>
      </c>
      <c r="C2" s="12" t="n">
        <f aca="false">B2*Constants!$B$5</f>
        <v>16.404199475</v>
      </c>
      <c r="D2" s="10"/>
    </row>
    <row r="3" customFormat="false" ht="15" hidden="false" customHeight="false" outlineLevel="0" collapsed="false">
      <c r="A3" s="10" t="s">
        <v>89</v>
      </c>
      <c r="B3" s="11" t="n">
        <v>36</v>
      </c>
      <c r="C3" s="12" t="n">
        <f aca="false">B3*Constants!$B$5</f>
        <v>59.05511811</v>
      </c>
      <c r="D3" s="13" t="s">
        <v>90</v>
      </c>
    </row>
    <row r="4" customFormat="false" ht="23.85" hidden="false" customHeight="false" outlineLevel="0" collapsed="false">
      <c r="A4" s="10" t="s">
        <v>91</v>
      </c>
      <c r="B4" s="11" t="n">
        <v>50</v>
      </c>
      <c r="C4" s="12" t="n">
        <f aca="false">RADIANS(B4)</f>
        <v>0.872664625997165</v>
      </c>
      <c r="D4" s="13" t="s">
        <v>92</v>
      </c>
    </row>
    <row r="5" customFormat="false" ht="23.85" hidden="false" customHeight="false" outlineLevel="0" collapsed="false">
      <c r="A5" s="8" t="s">
        <v>93</v>
      </c>
      <c r="B5" s="14"/>
      <c r="C5" s="15" t="n">
        <f aca="false">C3/C4</f>
        <v>67.6721805269919</v>
      </c>
      <c r="D5" s="9" t="s">
        <v>94</v>
      </c>
    </row>
    <row r="6" customFormat="false" ht="35.05" hidden="false" customHeight="false" outlineLevel="0" collapsed="false">
      <c r="A6" s="8" t="s">
        <v>95</v>
      </c>
      <c r="B6" s="14" t="s">
        <v>96</v>
      </c>
      <c r="C6" s="15" t="n">
        <f aca="false">6.75/12</f>
        <v>0.5625</v>
      </c>
      <c r="D6" s="9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1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55"/>
  </cols>
  <sheetData>
    <row r="1" customFormat="false" ht="23.85" hidden="false" customHeight="false" outlineLevel="0" collapsed="false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7" t="s">
        <v>105</v>
      </c>
      <c r="I1" s="7" t="s">
        <v>106</v>
      </c>
      <c r="J1" s="7" t="s">
        <v>87</v>
      </c>
    </row>
    <row r="2" customFormat="false" ht="35.05" hidden="false" customHeight="false" outlineLevel="0" collapsed="false">
      <c r="A2" s="8" t="s">
        <v>107</v>
      </c>
      <c r="B2" s="14" t="n">
        <v>8</v>
      </c>
      <c r="C2" s="14" t="n">
        <v>10</v>
      </c>
      <c r="D2" s="15" t="n">
        <f aca="false">B2*Constants!$B$5</f>
        <v>13.12335958</v>
      </c>
      <c r="E2" s="15" t="n">
        <f aca="false">C2*Constants!$B$5</f>
        <v>16.404199475</v>
      </c>
      <c r="F2" s="14" t="s">
        <v>108</v>
      </c>
      <c r="G2" s="14" t="s">
        <v>109</v>
      </c>
      <c r="H2" s="15" t="n">
        <f aca="false">100</f>
        <v>100</v>
      </c>
      <c r="I2" s="14" t="s">
        <v>110</v>
      </c>
      <c r="J2" s="9" t="s">
        <v>111</v>
      </c>
    </row>
    <row r="3" customFormat="false" ht="23.85" hidden="false" customHeight="false" outlineLevel="0" collapsed="false">
      <c r="A3" s="8" t="s">
        <v>112</v>
      </c>
      <c r="B3" s="14" t="n">
        <v>8</v>
      </c>
      <c r="C3" s="14" t="n">
        <v>10</v>
      </c>
      <c r="D3" s="15" t="n">
        <f aca="false">B3*Constants!$B$5</f>
        <v>13.12335958</v>
      </c>
      <c r="E3" s="15" t="n">
        <f aca="false">C3*Constants!$B$5</f>
        <v>16.404199475</v>
      </c>
      <c r="F3" s="14" t="s">
        <v>113</v>
      </c>
      <c r="G3" s="14" t="s">
        <v>113</v>
      </c>
      <c r="H3" s="15" t="n">
        <f aca="false">100</f>
        <v>100</v>
      </c>
      <c r="I3" s="14" t="s">
        <v>113</v>
      </c>
      <c r="J3" s="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5"/>
  </cols>
  <sheetData>
    <row r="1" customFormat="false" ht="15" hidden="false" customHeight="false" outlineLevel="0" collapsed="false">
      <c r="A1" s="7" t="s">
        <v>18</v>
      </c>
      <c r="B1" s="7" t="s">
        <v>85</v>
      </c>
      <c r="C1" s="7" t="s">
        <v>86</v>
      </c>
      <c r="D1" s="7" t="s">
        <v>87</v>
      </c>
    </row>
    <row r="2" customFormat="false" ht="15" hidden="false" customHeight="false" outlineLevel="0" collapsed="false">
      <c r="A2" s="10" t="s">
        <v>115</v>
      </c>
      <c r="B2" s="11" t="n">
        <v>8</v>
      </c>
      <c r="C2" s="12" t="n">
        <f aca="false">B2*Constants!$B$5</f>
        <v>13.12335958</v>
      </c>
      <c r="D2" s="10"/>
    </row>
    <row r="3" customFormat="false" ht="15" hidden="false" customHeight="false" outlineLevel="0" collapsed="false">
      <c r="A3" s="10" t="s">
        <v>116</v>
      </c>
      <c r="B3" s="11" t="n">
        <v>10</v>
      </c>
      <c r="C3" s="12" t="n">
        <f aca="false">B3*Constants!$B$5</f>
        <v>16.404199475</v>
      </c>
      <c r="D3" s="10"/>
    </row>
    <row r="4" customFormat="false" ht="15" hidden="false" customHeight="false" outlineLevel="0" collapsed="false">
      <c r="A4" s="8" t="s">
        <v>117</v>
      </c>
      <c r="B4" s="14" t="n">
        <v>24</v>
      </c>
      <c r="C4" s="15" t="n">
        <f aca="false">B4</f>
        <v>24</v>
      </c>
      <c r="D4" s="9" t="s">
        <v>118</v>
      </c>
    </row>
    <row r="5" customFormat="false" ht="15" hidden="false" customHeight="false" outlineLevel="0" collapsed="false">
      <c r="A5" s="10" t="s">
        <v>119</v>
      </c>
      <c r="B5" s="11" t="s">
        <v>120</v>
      </c>
      <c r="C5" s="10"/>
      <c r="D5" s="10"/>
    </row>
    <row r="6" customFormat="false" ht="15" hidden="false" customHeight="false" outlineLevel="0" collapsed="false">
      <c r="A6" s="10" t="s">
        <v>121</v>
      </c>
      <c r="B6" s="11" t="n">
        <v>4</v>
      </c>
      <c r="C6" s="12" t="n">
        <f aca="false">B6</f>
        <v>4</v>
      </c>
      <c r="D6" s="10"/>
    </row>
    <row r="7" customFormat="false" ht="23.85" hidden="false" customHeight="false" outlineLevel="0" collapsed="false">
      <c r="A7" s="8" t="s">
        <v>122</v>
      </c>
      <c r="B7" s="14" t="n">
        <v>20</v>
      </c>
      <c r="C7" s="15" t="n">
        <f aca="false">B7</f>
        <v>20</v>
      </c>
      <c r="D7" s="9" t="s">
        <v>123</v>
      </c>
    </row>
    <row r="8" customFormat="false" ht="15" hidden="false" customHeight="false" outlineLevel="0" collapsed="false">
      <c r="A8" s="8" t="s">
        <v>124</v>
      </c>
      <c r="B8" s="14" t="s">
        <v>125</v>
      </c>
      <c r="C8" s="8"/>
      <c r="D8" s="9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85"/>
  </cols>
  <sheetData>
    <row r="1" customFormat="false" ht="15" hidden="false" customHeight="false" outlineLevel="0" collapsed="false">
      <c r="A1" s="7" t="s">
        <v>18</v>
      </c>
      <c r="B1" s="7" t="s">
        <v>85</v>
      </c>
      <c r="C1" s="7" t="s">
        <v>86</v>
      </c>
      <c r="D1" s="7" t="s">
        <v>87</v>
      </c>
    </row>
    <row r="2" customFormat="false" ht="23.85" hidden="false" customHeight="false" outlineLevel="0" collapsed="false">
      <c r="A2" s="8" t="s">
        <v>127</v>
      </c>
      <c r="B2" s="14" t="s">
        <v>128</v>
      </c>
      <c r="C2" s="15" t="n">
        <f aca="false">13/12</f>
        <v>1.08333333333333</v>
      </c>
      <c r="D2" s="9" t="s">
        <v>129</v>
      </c>
    </row>
    <row r="3" customFormat="false" ht="15" hidden="false" customHeight="false" outlineLevel="0" collapsed="false">
      <c r="A3" s="10" t="s">
        <v>130</v>
      </c>
      <c r="B3" s="11" t="n">
        <v>16</v>
      </c>
      <c r="C3" s="12" t="n">
        <f aca="false">B3</f>
        <v>16</v>
      </c>
      <c r="D3" s="10"/>
    </row>
    <row r="4" customFormat="false" ht="15" hidden="false" customHeight="false" outlineLevel="0" collapsed="false">
      <c r="A4" s="10" t="s">
        <v>131</v>
      </c>
      <c r="B4" s="11" t="n">
        <v>4</v>
      </c>
      <c r="C4" s="12" t="n">
        <f aca="false">B4</f>
        <v>4</v>
      </c>
      <c r="D4" s="10"/>
    </row>
    <row r="5" customFormat="false" ht="15" hidden="false" customHeight="false" outlineLevel="0" collapsed="false">
      <c r="A5" s="10" t="s">
        <v>132</v>
      </c>
      <c r="B5" s="11" t="s">
        <v>133</v>
      </c>
      <c r="C5" s="10"/>
      <c r="D5" s="10"/>
    </row>
    <row r="6" customFormat="false" ht="57.45" hidden="false" customHeight="false" outlineLevel="0" collapsed="false">
      <c r="A6" s="8" t="s">
        <v>134</v>
      </c>
      <c r="B6" s="16" t="s">
        <v>135</v>
      </c>
      <c r="C6" s="8"/>
      <c r="D6" s="9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75"/>
  </cols>
  <sheetData>
    <row r="1" customFormat="false" ht="15" hidden="false" customHeight="false" outlineLevel="0" collapsed="false">
      <c r="A1" s="7" t="s">
        <v>18</v>
      </c>
      <c r="B1" s="7" t="s">
        <v>85</v>
      </c>
      <c r="C1" s="7" t="s">
        <v>137</v>
      </c>
      <c r="D1" s="7" t="s">
        <v>138</v>
      </c>
      <c r="E1" s="7" t="s">
        <v>139</v>
      </c>
      <c r="F1" s="7" t="s">
        <v>87</v>
      </c>
    </row>
    <row r="2" customFormat="false" ht="15" hidden="false" customHeight="false" outlineLevel="0" collapsed="false">
      <c r="A2" s="10" t="s">
        <v>140</v>
      </c>
      <c r="B2" s="11" t="s">
        <v>141</v>
      </c>
      <c r="C2" s="11" t="n">
        <v>36</v>
      </c>
      <c r="D2" s="11" t="n">
        <v>2</v>
      </c>
      <c r="E2" s="12" t="n">
        <f aca="false">C2+D2/12</f>
        <v>36.1666666666667</v>
      </c>
      <c r="F2" s="13"/>
    </row>
    <row r="3" customFormat="false" ht="15" hidden="false" customHeight="false" outlineLevel="0" collapsed="false">
      <c r="A3" s="10" t="s">
        <v>142</v>
      </c>
      <c r="B3" s="11" t="s">
        <v>143</v>
      </c>
      <c r="C3" s="11" t="n">
        <v>8</v>
      </c>
      <c r="D3" s="11" t="n">
        <v>6</v>
      </c>
      <c r="E3" s="12" t="n">
        <f aca="false">C3+D3/12</f>
        <v>8.5</v>
      </c>
      <c r="F3" s="13"/>
    </row>
    <row r="4" customFormat="false" ht="15" hidden="false" customHeight="false" outlineLevel="0" collapsed="false">
      <c r="A4" s="10" t="s">
        <v>144</v>
      </c>
      <c r="B4" s="11" t="s">
        <v>145</v>
      </c>
      <c r="C4" s="11" t="n">
        <v>9</v>
      </c>
      <c r="D4" s="11" t="n">
        <v>8</v>
      </c>
      <c r="E4" s="12" t="n">
        <f aca="false">C4+D4/12</f>
        <v>9.66666666666667</v>
      </c>
      <c r="F4" s="13"/>
    </row>
    <row r="5" customFormat="false" ht="15" hidden="false" customHeight="false" outlineLevel="0" collapsed="false">
      <c r="A5" s="10" t="s">
        <v>146</v>
      </c>
      <c r="B5" s="11" t="s">
        <v>147</v>
      </c>
      <c r="C5" s="11" t="n">
        <v>6</v>
      </c>
      <c r="D5" s="11" t="n">
        <v>8</v>
      </c>
      <c r="E5" s="12" t="n">
        <f aca="false">C5+D5/12</f>
        <v>6.66666666666667</v>
      </c>
      <c r="F5" s="13" t="s">
        <v>148</v>
      </c>
    </row>
    <row r="6" customFormat="false" ht="23.85" hidden="false" customHeight="false" outlineLevel="0" collapsed="false">
      <c r="A6" s="8" t="s">
        <v>149</v>
      </c>
      <c r="B6" s="14" t="s">
        <v>150</v>
      </c>
      <c r="C6" s="14" t="n">
        <v>6</v>
      </c>
      <c r="D6" s="14" t="n">
        <v>7.375</v>
      </c>
      <c r="E6" s="15" t="n">
        <f aca="false">C6+D6/12</f>
        <v>6.61458333333333</v>
      </c>
      <c r="F6" s="9" t="s">
        <v>151</v>
      </c>
    </row>
    <row r="7" customFormat="false" ht="23.85" hidden="false" customHeight="false" outlineLevel="0" collapsed="false">
      <c r="A7" s="10" t="s">
        <v>152</v>
      </c>
      <c r="B7" s="11" t="s">
        <v>153</v>
      </c>
      <c r="C7" s="10"/>
      <c r="D7" s="10"/>
      <c r="E7" s="12" t="n">
        <f aca="false">37/12</f>
        <v>3.08333333333333</v>
      </c>
      <c r="F7" s="13" t="s">
        <v>154</v>
      </c>
    </row>
    <row r="8" customFormat="false" ht="15" hidden="false" customHeight="false" outlineLevel="0" collapsed="false">
      <c r="A8" s="10" t="s">
        <v>155</v>
      </c>
      <c r="B8" s="11" t="s">
        <v>156</v>
      </c>
      <c r="C8" s="10"/>
      <c r="D8" s="10"/>
      <c r="E8" s="12" t="n">
        <f aca="false">48/12</f>
        <v>4</v>
      </c>
      <c r="F8" s="13" t="s">
        <v>157</v>
      </c>
    </row>
    <row r="9" customFormat="false" ht="15" hidden="false" customHeight="false" outlineLevel="0" collapsed="false">
      <c r="A9" s="10" t="s">
        <v>158</v>
      </c>
      <c r="B9" s="11" t="s">
        <v>159</v>
      </c>
      <c r="C9" s="11" t="n">
        <v>6</v>
      </c>
      <c r="D9" s="11" t="n">
        <v>3</v>
      </c>
      <c r="E9" s="12" t="n">
        <f aca="false">C9+D9/12</f>
        <v>6.25</v>
      </c>
      <c r="F9" s="13"/>
    </row>
    <row r="10" customFormat="false" ht="23.85" hidden="false" customHeight="false" outlineLevel="0" collapsed="false">
      <c r="A10" s="8" t="s">
        <v>160</v>
      </c>
      <c r="B10" s="14" t="s">
        <v>161</v>
      </c>
      <c r="C10" s="8"/>
      <c r="D10" s="8"/>
      <c r="E10" s="8"/>
      <c r="F10" s="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163</v>
      </c>
      <c r="B1" s="7" t="s">
        <v>164</v>
      </c>
      <c r="C1" s="7" t="s">
        <v>102</v>
      </c>
      <c r="D1" s="7" t="s">
        <v>117</v>
      </c>
      <c r="E1" s="7" t="s">
        <v>165</v>
      </c>
      <c r="F1" s="7" t="s">
        <v>166</v>
      </c>
    </row>
    <row r="2" customFormat="false" ht="23.85" hidden="false" customHeight="false" outlineLevel="0" collapsed="false">
      <c r="A2" s="8" t="s">
        <v>167</v>
      </c>
      <c r="B2" s="14" t="n">
        <v>24</v>
      </c>
      <c r="C2" s="14" t="n">
        <v>16</v>
      </c>
      <c r="D2" s="8" t="s">
        <v>125</v>
      </c>
      <c r="E2" s="16" t="s">
        <v>168</v>
      </c>
      <c r="F2" s="9" t="s">
        <v>169</v>
      </c>
    </row>
    <row r="3" customFormat="false" ht="23.85" hidden="false" customHeight="false" outlineLevel="0" collapsed="false">
      <c r="A3" s="8" t="s">
        <v>170</v>
      </c>
      <c r="B3" s="14" t="n">
        <v>24</v>
      </c>
      <c r="C3" s="14" t="n">
        <v>20</v>
      </c>
      <c r="D3" s="8" t="s">
        <v>125</v>
      </c>
      <c r="E3" s="16" t="s">
        <v>171</v>
      </c>
      <c r="F3" s="9" t="s">
        <v>169</v>
      </c>
    </row>
    <row r="4" customFormat="false" ht="23.85" hidden="false" customHeight="false" outlineLevel="0" collapsed="false">
      <c r="A4" s="8" t="s">
        <v>172</v>
      </c>
      <c r="B4" s="14" t="n">
        <v>16</v>
      </c>
      <c r="C4" s="14" t="n">
        <v>20</v>
      </c>
      <c r="D4" s="8" t="s">
        <v>125</v>
      </c>
      <c r="E4" s="16" t="s">
        <v>173</v>
      </c>
      <c r="F4" s="9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60"/>
  </cols>
  <sheetData>
    <row r="1" customFormat="false" ht="23.85" hidden="false" customHeight="false" outlineLevel="0" collapsed="false">
      <c r="A1" s="7" t="s">
        <v>163</v>
      </c>
      <c r="B1" s="7" t="s">
        <v>164</v>
      </c>
      <c r="C1" s="7" t="s">
        <v>102</v>
      </c>
      <c r="D1" s="7" t="s">
        <v>174</v>
      </c>
      <c r="E1" s="7" t="s">
        <v>175</v>
      </c>
      <c r="F1" s="7" t="s">
        <v>165</v>
      </c>
      <c r="G1" s="7" t="s">
        <v>166</v>
      </c>
    </row>
    <row r="2" customFormat="false" ht="23.85" hidden="false" customHeight="false" outlineLevel="0" collapsed="false">
      <c r="A2" s="8" t="s">
        <v>167</v>
      </c>
      <c r="B2" s="8" t="s">
        <v>125</v>
      </c>
      <c r="C2" s="8" t="s">
        <v>125</v>
      </c>
      <c r="D2" s="14" t="s">
        <v>176</v>
      </c>
      <c r="E2" s="15" t="n">
        <f aca="false">15.75/12</f>
        <v>1.3125</v>
      </c>
      <c r="F2" s="14" t="s">
        <v>177</v>
      </c>
      <c r="G2" s="9" t="s">
        <v>178</v>
      </c>
    </row>
    <row r="3" customFormat="false" ht="23.85" hidden="false" customHeight="false" outlineLevel="0" collapsed="false">
      <c r="A3" s="8" t="s">
        <v>170</v>
      </c>
      <c r="B3" s="8" t="s">
        <v>125</v>
      </c>
      <c r="C3" s="8" t="s">
        <v>125</v>
      </c>
      <c r="D3" s="14" t="s">
        <v>179</v>
      </c>
      <c r="E3" s="15" t="n">
        <f aca="false">40.5/12</f>
        <v>3.375</v>
      </c>
      <c r="F3" s="14" t="s">
        <v>180</v>
      </c>
      <c r="G3" s="9" t="s">
        <v>181</v>
      </c>
    </row>
    <row r="4" customFormat="false" ht="15" hidden="false" customHeight="false" outlineLevel="0" collapsed="false">
      <c r="A4" s="8" t="s">
        <v>172</v>
      </c>
      <c r="B4" s="8" t="s">
        <v>125</v>
      </c>
      <c r="C4" s="8" t="s">
        <v>125</v>
      </c>
      <c r="D4" s="8"/>
      <c r="E4" s="8"/>
      <c r="F4" s="8"/>
      <c r="G4" s="9" t="s">
        <v>75</v>
      </c>
    </row>
    <row r="5" customFormat="false" ht="57.45" hidden="false" customHeight="false" outlineLevel="0" collapsed="false">
      <c r="A5" s="8" t="s">
        <v>182</v>
      </c>
      <c r="B5" s="8"/>
      <c r="C5" s="8"/>
      <c r="D5" s="8"/>
      <c r="E5" s="8"/>
      <c r="F5" s="14" t="s">
        <v>183</v>
      </c>
      <c r="G5" s="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163</v>
      </c>
      <c r="B1" s="7" t="s">
        <v>85</v>
      </c>
      <c r="C1" s="7" t="s">
        <v>185</v>
      </c>
      <c r="D1" s="7" t="s">
        <v>139</v>
      </c>
      <c r="E1" s="7" t="s">
        <v>165</v>
      </c>
      <c r="F1" s="7" t="s">
        <v>166</v>
      </c>
    </row>
    <row r="2" customFormat="false" ht="23.85" hidden="false" customHeight="false" outlineLevel="0" collapsed="false">
      <c r="A2" s="8" t="s">
        <v>186</v>
      </c>
      <c r="B2" s="14" t="s">
        <v>187</v>
      </c>
      <c r="C2" s="8" t="s">
        <v>188</v>
      </c>
      <c r="D2" s="15" t="n">
        <f aca="false">12+1/12</f>
        <v>12.0833333333333</v>
      </c>
      <c r="E2" s="14" t="s">
        <v>189</v>
      </c>
      <c r="F2" s="9" t="s">
        <v>190</v>
      </c>
    </row>
    <row r="3" customFormat="false" ht="15" hidden="false" customHeight="false" outlineLevel="0" collapsed="false">
      <c r="A3" s="10" t="s">
        <v>191</v>
      </c>
      <c r="B3" s="11" t="s">
        <v>192</v>
      </c>
      <c r="C3" s="10" t="s">
        <v>193</v>
      </c>
      <c r="D3" s="12" t="n">
        <f aca="false">4+4/12</f>
        <v>4.33333333333333</v>
      </c>
      <c r="E3" s="10"/>
      <c r="F3" s="10"/>
    </row>
    <row r="4" customFormat="false" ht="15" hidden="false" customHeight="false" outlineLevel="0" collapsed="false">
      <c r="A4" s="10" t="s">
        <v>194</v>
      </c>
      <c r="B4" s="11" t="s">
        <v>195</v>
      </c>
      <c r="C4" s="10" t="s">
        <v>196</v>
      </c>
      <c r="D4" s="12" t="n">
        <f aca="false">10+2/12</f>
        <v>10.1666666666667</v>
      </c>
      <c r="E4" s="10"/>
      <c r="F4" s="10"/>
    </row>
    <row r="5" customFormat="false" ht="15" hidden="false" customHeight="false" outlineLevel="0" collapsed="false">
      <c r="A5" s="8" t="s">
        <v>170</v>
      </c>
      <c r="B5" s="8" t="s">
        <v>125</v>
      </c>
      <c r="C5" s="8"/>
      <c r="D5" s="8"/>
      <c r="E5" s="8"/>
      <c r="F5" s="8" t="s">
        <v>75</v>
      </c>
    </row>
    <row r="6" customFormat="false" ht="15" hidden="false" customHeight="false" outlineLevel="0" collapsed="false">
      <c r="A6" s="8" t="s">
        <v>172</v>
      </c>
      <c r="B6" s="8" t="s">
        <v>125</v>
      </c>
      <c r="C6" s="8"/>
      <c r="D6" s="8"/>
      <c r="E6" s="8"/>
      <c r="F6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197</v>
      </c>
      <c r="B1" s="7" t="s">
        <v>198</v>
      </c>
      <c r="C1" s="7" t="s">
        <v>199</v>
      </c>
      <c r="D1" s="7" t="s">
        <v>166</v>
      </c>
    </row>
    <row r="2" customFormat="false" ht="23.85" hidden="false" customHeight="false" outlineLevel="0" collapsed="false">
      <c r="A2" s="11" t="s">
        <v>200</v>
      </c>
      <c r="B2" s="11" t="s">
        <v>201</v>
      </c>
      <c r="C2" s="13" t="s">
        <v>202</v>
      </c>
      <c r="D2" s="13"/>
    </row>
    <row r="3" customFormat="false" ht="23.85" hidden="false" customHeight="false" outlineLevel="0" collapsed="false">
      <c r="A3" s="14" t="s">
        <v>203</v>
      </c>
      <c r="B3" s="14" t="s">
        <v>204</v>
      </c>
      <c r="C3" s="9" t="s">
        <v>205</v>
      </c>
      <c r="D3" s="9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7" t="s">
        <v>207</v>
      </c>
    </row>
    <row r="2" customFormat="false" ht="30" hidden="false" customHeight="true" outlineLevel="0" collapsed="false">
      <c r="A2" s="18" t="s">
        <v>208</v>
      </c>
      <c r="B2" s="18"/>
      <c r="C2" s="18"/>
      <c r="D2" s="18"/>
    </row>
    <row r="4" customFormat="false" ht="15" hidden="false" customHeight="false" outlineLevel="0" collapsed="false">
      <c r="A4" s="7" t="s">
        <v>209</v>
      </c>
      <c r="B4" s="7" t="s">
        <v>85</v>
      </c>
      <c r="C4" s="7" t="s">
        <v>139</v>
      </c>
      <c r="D4" s="7" t="s">
        <v>210</v>
      </c>
    </row>
    <row r="5" customFormat="false" ht="15" hidden="false" customHeight="false" outlineLevel="0" collapsed="false">
      <c r="A5" s="8" t="s">
        <v>211</v>
      </c>
      <c r="B5" s="14" t="s">
        <v>212</v>
      </c>
      <c r="C5" s="15" t="n">
        <f aca="false">38</f>
        <v>38</v>
      </c>
      <c r="D5" s="9" t="s">
        <v>213</v>
      </c>
    </row>
    <row r="6" customFormat="false" ht="15" hidden="false" customHeight="false" outlineLevel="0" collapsed="false">
      <c r="A6" s="8" t="s">
        <v>214</v>
      </c>
      <c r="B6" s="14" t="s">
        <v>215</v>
      </c>
      <c r="C6" s="15" t="n">
        <f aca="false">16</f>
        <v>16</v>
      </c>
      <c r="D6" s="9" t="s">
        <v>216</v>
      </c>
    </row>
    <row r="7" customFormat="false" ht="15" hidden="false" customHeight="false" outlineLevel="0" collapsed="false">
      <c r="A7" s="8" t="s">
        <v>217</v>
      </c>
      <c r="B7" s="14" t="s">
        <v>218</v>
      </c>
      <c r="C7" s="15" t="n">
        <f aca="false">10+9/12</f>
        <v>10.75</v>
      </c>
      <c r="D7" s="9" t="s">
        <v>219</v>
      </c>
    </row>
    <row r="8" customFormat="false" ht="15" hidden="false" customHeight="false" outlineLevel="0" collapsed="false">
      <c r="A8" s="8" t="s">
        <v>220</v>
      </c>
      <c r="B8" s="14" t="s">
        <v>221</v>
      </c>
      <c r="C8" s="15" t="n">
        <f aca="false">16+6/12</f>
        <v>16.5</v>
      </c>
      <c r="D8" s="9" t="s">
        <v>222</v>
      </c>
    </row>
    <row r="9" customFormat="false" ht="15" hidden="false" customHeight="false" outlineLevel="0" collapsed="false">
      <c r="A9" s="8" t="s">
        <v>223</v>
      </c>
      <c r="B9" s="14" t="s">
        <v>224</v>
      </c>
      <c r="C9" s="15" t="n">
        <f aca="false">13+8/12</f>
        <v>13.6666666666667</v>
      </c>
      <c r="D9" s="9" t="s">
        <v>225</v>
      </c>
    </row>
    <row r="10" customFormat="false" ht="15" hidden="false" customHeight="false" outlineLevel="0" collapsed="false">
      <c r="A10" s="8" t="s">
        <v>226</v>
      </c>
      <c r="B10" s="14" t="s">
        <v>227</v>
      </c>
      <c r="C10" s="15" t="n">
        <f aca="false">16</f>
        <v>16</v>
      </c>
      <c r="D10" s="9" t="s">
        <v>228</v>
      </c>
    </row>
    <row r="11" customFormat="false" ht="15" hidden="false" customHeight="false" outlineLevel="0" collapsed="false">
      <c r="A11" s="8" t="s">
        <v>229</v>
      </c>
      <c r="B11" s="14" t="s">
        <v>230</v>
      </c>
      <c r="C11" s="15" t="n">
        <f aca="false">4</f>
        <v>4</v>
      </c>
      <c r="D11" s="9" t="s">
        <v>231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2026-09-28T22:46:16Z</dcterms:created>
  <dc:creator>openpyxl</dc:creator>
  <dc:description/>
  <dc:language>en-US</dc:language>
  <cp:lastModifiedBy/>
  <dcterms:modified xsi:type="dcterms:W3CDTF">2026-09-28T22:46:16Z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